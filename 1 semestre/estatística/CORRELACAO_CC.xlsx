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/>
  <mc:AlternateContent xmlns:mc="http://schemas.openxmlformats.org/markup-compatibility/2006">
    <mc:Choice Requires="x15">
      <x15ac:absPath xmlns:x15ac="http://schemas.microsoft.com/office/spreadsheetml/2010/11/ac" url="C:\Users\laboratorio\Downloads\"/>
    </mc:Choice>
  </mc:AlternateContent>
  <xr:revisionPtr revIDLastSave="0" documentId="13_ncr:1_{2DF41CBF-2F50-47C0-A9CD-A4613D887603}" xr6:coauthVersionLast="47" xr6:coauthVersionMax="47" xr10:uidLastSave="{00000000-0000-0000-0000-000000000000}"/>
  <bookViews>
    <workbookView xWindow="-120" yWindow="-120" windowWidth="29040" windowHeight="15720" xr2:uid="{B9AAA29D-9C5A-416C-9B35-BBCEA99409C7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8" i="1"/>
  <c r="B26" i="1"/>
  <c r="B25" i="1"/>
</calcChain>
</file>

<file path=xl/sharedStrings.xml><?xml version="1.0" encoding="utf-8"?>
<sst xmlns="http://schemas.openxmlformats.org/spreadsheetml/2006/main" count="11" uniqueCount="11">
  <si>
    <t>DISTCAP</t>
  </si>
  <si>
    <t>ESPVIDA</t>
  </si>
  <si>
    <t>MORTINF</t>
  </si>
  <si>
    <t>ALFAB</t>
  </si>
  <si>
    <t>RENDA</t>
  </si>
  <si>
    <t xml:space="preserve">Massa </t>
  </si>
  <si>
    <t xml:space="preserve">Idade </t>
  </si>
  <si>
    <t>alfabetxrenda</t>
  </si>
  <si>
    <t>distcapxmifan</t>
  </si>
  <si>
    <t>EspcVidaXRenda</t>
  </si>
  <si>
    <t>massaXidade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</si>
</sst>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Planilha1!$E$1</c:f>
              <c:strCache>
                <c:ptCount val="1"/>
                <c:pt idx="0">
                  <c:v>RENDA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Planilha1!$D$2:$D$13</c:f>
              <c:numCache>
                <c:formatCode>General</c:formatCode>
                <c:ptCount val="12"/>
                <c:pt idx="0">
                  <c:v>86.23</c:v>
                </c:pt>
                <c:pt idx="1">
                  <c:v>63</c:v>
                </c:pt>
                <c:pt idx="2">
                  <c:v>63.64</c:v>
                </c:pt>
                <c:pt idx="3">
                  <c:v>79.33</c:v>
                </c:pt>
                <c:pt idx="4">
                  <c:v>83.38</c:v>
                </c:pt>
                <c:pt idx="5">
                  <c:v>65.81</c:v>
                </c:pt>
                <c:pt idx="6">
                  <c:v>77.540000000000006</c:v>
                </c:pt>
                <c:pt idx="7">
                  <c:v>89.28</c:v>
                </c:pt>
                <c:pt idx="8">
                  <c:v>69.95</c:v>
                </c:pt>
                <c:pt idx="9">
                  <c:v>59.72</c:v>
                </c:pt>
                <c:pt idx="10">
                  <c:v>90.43</c:v>
                </c:pt>
                <c:pt idx="11">
                  <c:v>81.819999999999993</c:v>
                </c:pt>
              </c:numCache>
            </c:numRef>
          </c:xVal>
          <c:yVal>
            <c:numRef>
              <c:f>Planilha1!$E$2:$E$13</c:f>
              <c:numCache>
                <c:formatCode>General</c:formatCode>
                <c:ptCount val="12"/>
                <c:pt idx="0">
                  <c:v>188.29</c:v>
                </c:pt>
                <c:pt idx="1">
                  <c:v>74.790000000000006</c:v>
                </c:pt>
                <c:pt idx="2">
                  <c:v>66.959999999999994</c:v>
                </c:pt>
                <c:pt idx="3">
                  <c:v>65.34</c:v>
                </c:pt>
                <c:pt idx="4">
                  <c:v>173.38</c:v>
                </c:pt>
                <c:pt idx="5">
                  <c:v>60</c:v>
                </c:pt>
                <c:pt idx="6">
                  <c:v>160.66999999999999</c:v>
                </c:pt>
                <c:pt idx="7">
                  <c:v>264.55</c:v>
                </c:pt>
                <c:pt idx="8">
                  <c:v>80.69</c:v>
                </c:pt>
                <c:pt idx="9">
                  <c:v>58.68</c:v>
                </c:pt>
                <c:pt idx="10">
                  <c:v>196.51</c:v>
                </c:pt>
                <c:pt idx="11">
                  <c:v>125.75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94-4A35-B59E-1D19FB0DC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5331359"/>
        <c:axId val="1735340095"/>
      </c:scatterChart>
      <c:valAx>
        <c:axId val="173533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340095"/>
        <c:crosses val="autoZero"/>
        <c:crossBetween val="midCat"/>
      </c:valAx>
      <c:valAx>
        <c:axId val="173534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331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Planilha1!$C$1</c:f>
              <c:strCache>
                <c:ptCount val="1"/>
                <c:pt idx="0">
                  <c:v>MORTINF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Planilha1!$A$2:$A$13</c:f>
              <c:numCache>
                <c:formatCode>General</c:formatCode>
                <c:ptCount val="12"/>
                <c:pt idx="0">
                  <c:v>365</c:v>
                </c:pt>
                <c:pt idx="1">
                  <c:v>278</c:v>
                </c:pt>
                <c:pt idx="2">
                  <c:v>150</c:v>
                </c:pt>
                <c:pt idx="3">
                  <c:v>78</c:v>
                </c:pt>
                <c:pt idx="4">
                  <c:v>468</c:v>
                </c:pt>
                <c:pt idx="5">
                  <c:v>40</c:v>
                </c:pt>
                <c:pt idx="6">
                  <c:v>486</c:v>
                </c:pt>
                <c:pt idx="7">
                  <c:v>83</c:v>
                </c:pt>
                <c:pt idx="8">
                  <c:v>65</c:v>
                </c:pt>
                <c:pt idx="9">
                  <c:v>175</c:v>
                </c:pt>
                <c:pt idx="10">
                  <c:v>14</c:v>
                </c:pt>
                <c:pt idx="11">
                  <c:v>167</c:v>
                </c:pt>
              </c:numCache>
            </c:numRef>
          </c:xVal>
          <c:yVal>
            <c:numRef>
              <c:f>Planilha1!$C$2:$C$13</c:f>
              <c:numCache>
                <c:formatCode>General</c:formatCode>
                <c:ptCount val="12"/>
                <c:pt idx="0">
                  <c:v>23.19</c:v>
                </c:pt>
                <c:pt idx="1">
                  <c:v>56.56</c:v>
                </c:pt>
                <c:pt idx="2">
                  <c:v>63.32</c:v>
                </c:pt>
                <c:pt idx="3">
                  <c:v>66.05</c:v>
                </c:pt>
                <c:pt idx="4">
                  <c:v>31.71</c:v>
                </c:pt>
                <c:pt idx="5">
                  <c:v>47.08</c:v>
                </c:pt>
                <c:pt idx="6">
                  <c:v>46.62</c:v>
                </c:pt>
                <c:pt idx="7">
                  <c:v>15.59</c:v>
                </c:pt>
                <c:pt idx="8">
                  <c:v>44.18</c:v>
                </c:pt>
                <c:pt idx="9">
                  <c:v>51.57</c:v>
                </c:pt>
                <c:pt idx="10">
                  <c:v>32.81</c:v>
                </c:pt>
                <c:pt idx="11">
                  <c:v>37.04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EB-4FEC-850B-7B72D1995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117439"/>
        <c:axId val="96103711"/>
      </c:scatterChart>
      <c:valAx>
        <c:axId val="96117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03711"/>
        <c:crosses val="autoZero"/>
        <c:crossBetween val="midCat"/>
      </c:valAx>
      <c:valAx>
        <c:axId val="9610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17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Planilha1!$H$1</c:f>
              <c:strCache>
                <c:ptCount val="1"/>
                <c:pt idx="0">
                  <c:v>Idade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Planilha1!$G$2:$G$19</c:f>
              <c:numCache>
                <c:formatCode>General</c:formatCode>
                <c:ptCount val="18"/>
                <c:pt idx="0">
                  <c:v>82</c:v>
                </c:pt>
                <c:pt idx="1">
                  <c:v>91</c:v>
                </c:pt>
                <c:pt idx="2">
                  <c:v>100</c:v>
                </c:pt>
                <c:pt idx="3">
                  <c:v>68</c:v>
                </c:pt>
                <c:pt idx="4">
                  <c:v>87</c:v>
                </c:pt>
                <c:pt idx="5">
                  <c:v>73</c:v>
                </c:pt>
                <c:pt idx="6">
                  <c:v>78</c:v>
                </c:pt>
                <c:pt idx="7">
                  <c:v>80</c:v>
                </c:pt>
                <c:pt idx="8">
                  <c:v>65</c:v>
                </c:pt>
                <c:pt idx="9">
                  <c:v>84</c:v>
                </c:pt>
                <c:pt idx="10">
                  <c:v>116</c:v>
                </c:pt>
                <c:pt idx="11">
                  <c:v>76</c:v>
                </c:pt>
                <c:pt idx="12">
                  <c:v>97</c:v>
                </c:pt>
                <c:pt idx="13">
                  <c:v>100</c:v>
                </c:pt>
                <c:pt idx="14">
                  <c:v>105</c:v>
                </c:pt>
                <c:pt idx="15">
                  <c:v>77</c:v>
                </c:pt>
                <c:pt idx="16">
                  <c:v>73</c:v>
                </c:pt>
                <c:pt idx="17">
                  <c:v>78</c:v>
                </c:pt>
              </c:numCache>
            </c:numRef>
          </c:xVal>
          <c:yVal>
            <c:numRef>
              <c:f>Planilha1!$H$2:$H$19</c:f>
              <c:numCache>
                <c:formatCode>General</c:formatCode>
                <c:ptCount val="18"/>
                <c:pt idx="0">
                  <c:v>71</c:v>
                </c:pt>
                <c:pt idx="1">
                  <c:v>64</c:v>
                </c:pt>
                <c:pt idx="2">
                  <c:v>43</c:v>
                </c:pt>
                <c:pt idx="3">
                  <c:v>67</c:v>
                </c:pt>
                <c:pt idx="4">
                  <c:v>56</c:v>
                </c:pt>
                <c:pt idx="5">
                  <c:v>73</c:v>
                </c:pt>
                <c:pt idx="6">
                  <c:v>68</c:v>
                </c:pt>
                <c:pt idx="7">
                  <c:v>56</c:v>
                </c:pt>
                <c:pt idx="8">
                  <c:v>76</c:v>
                </c:pt>
                <c:pt idx="9">
                  <c:v>65</c:v>
                </c:pt>
                <c:pt idx="10">
                  <c:v>45</c:v>
                </c:pt>
                <c:pt idx="11">
                  <c:v>58</c:v>
                </c:pt>
                <c:pt idx="12">
                  <c:v>45</c:v>
                </c:pt>
                <c:pt idx="13">
                  <c:v>53</c:v>
                </c:pt>
                <c:pt idx="14">
                  <c:v>49</c:v>
                </c:pt>
                <c:pt idx="15">
                  <c:v>78</c:v>
                </c:pt>
                <c:pt idx="16">
                  <c:v>73</c:v>
                </c:pt>
                <c:pt idx="17">
                  <c:v>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EF-4212-BF32-78D3102CC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796239"/>
        <c:axId val="105799567"/>
      </c:scatterChart>
      <c:valAx>
        <c:axId val="105796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99567"/>
        <c:crosses val="autoZero"/>
        <c:crossBetween val="midCat"/>
      </c:valAx>
      <c:valAx>
        <c:axId val="10579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96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</xdr:colOff>
      <xdr:row>0</xdr:row>
      <xdr:rowOff>0</xdr:rowOff>
    </xdr:from>
    <xdr:to>
      <xdr:col>14</xdr:col>
      <xdr:colOff>490537</xdr:colOff>
      <xdr:row>15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B3A19BA-E479-468E-BCD5-12C73F1C04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500062</xdr:colOff>
      <xdr:row>0</xdr:row>
      <xdr:rowOff>0</xdr:rowOff>
    </xdr:from>
    <xdr:to>
      <xdr:col>21</xdr:col>
      <xdr:colOff>271462</xdr:colOff>
      <xdr:row>15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3F34DAC-F932-4DF2-8E27-20D87E14B9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33337</xdr:colOff>
      <xdr:row>15</xdr:row>
      <xdr:rowOff>38100</xdr:rowOff>
    </xdr:from>
    <xdr:to>
      <xdr:col>14</xdr:col>
      <xdr:colOff>490537</xdr:colOff>
      <xdr:row>30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E7D9D26-E551-4685-B262-1EBFF463F1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41754-2935-4DBE-BEA1-902E6B902598}">
  <dimension ref="A1:H28"/>
  <sheetViews>
    <sheetView tabSelected="1" workbookViewId="0">
      <selection activeCell="P33" sqref="P33"/>
    </sheetView>
  </sheetViews>
  <sheetFormatPr defaultRowHeight="14.25"/>
  <cols>
    <col min="1" max="1" width="20.570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s="1">
        <v>365</v>
      </c>
      <c r="B2" s="1">
        <v>67.989999999999995</v>
      </c>
      <c r="C2" s="1">
        <v>23.19</v>
      </c>
      <c r="D2" s="1">
        <v>86.23</v>
      </c>
      <c r="E2" s="1">
        <v>188.29</v>
      </c>
      <c r="F2" s="1"/>
      <c r="G2" s="1">
        <v>82</v>
      </c>
      <c r="H2" s="1">
        <v>71</v>
      </c>
    </row>
    <row r="3" spans="1:8">
      <c r="A3" s="1">
        <v>278</v>
      </c>
      <c r="B3" s="1">
        <v>61.19</v>
      </c>
      <c r="C3" s="1">
        <v>56.56</v>
      </c>
      <c r="D3" s="1">
        <v>63</v>
      </c>
      <c r="E3" s="1">
        <v>74.790000000000006</v>
      </c>
      <c r="F3" s="1"/>
      <c r="G3" s="1">
        <v>91</v>
      </c>
      <c r="H3" s="1">
        <v>64</v>
      </c>
    </row>
    <row r="4" spans="1:8">
      <c r="A4" s="1">
        <v>150</v>
      </c>
      <c r="B4" s="1">
        <v>59.58</v>
      </c>
      <c r="C4" s="1">
        <v>63.32</v>
      </c>
      <c r="D4" s="1">
        <v>63.64</v>
      </c>
      <c r="E4" s="1">
        <v>66.959999999999994</v>
      </c>
      <c r="F4" s="1"/>
      <c r="G4" s="1">
        <v>100</v>
      </c>
      <c r="H4" s="1">
        <v>43</v>
      </c>
    </row>
    <row r="5" spans="1:8">
      <c r="A5" s="1">
        <v>78</v>
      </c>
      <c r="B5" s="1">
        <v>58.96</v>
      </c>
      <c r="C5" s="1">
        <v>66.05</v>
      </c>
      <c r="D5" s="1">
        <v>79.33</v>
      </c>
      <c r="E5" s="1">
        <v>65.34</v>
      </c>
      <c r="F5" s="1"/>
      <c r="G5" s="1">
        <v>68</v>
      </c>
      <c r="H5" s="1">
        <v>67</v>
      </c>
    </row>
    <row r="6" spans="1:8">
      <c r="A6" s="1">
        <v>468</v>
      </c>
      <c r="B6" s="1">
        <v>68.099999999999994</v>
      </c>
      <c r="C6" s="1">
        <v>31.71</v>
      </c>
      <c r="D6" s="1">
        <v>83.38</v>
      </c>
      <c r="E6" s="1">
        <v>173.38</v>
      </c>
      <c r="F6" s="1"/>
      <c r="G6" s="1">
        <v>87</v>
      </c>
      <c r="H6" s="1">
        <v>56</v>
      </c>
    </row>
    <row r="7" spans="1:8">
      <c r="A7" s="1">
        <v>40</v>
      </c>
      <c r="B7" s="1">
        <v>63.65</v>
      </c>
      <c r="C7" s="1">
        <v>47.08</v>
      </c>
      <c r="D7" s="1">
        <v>65.81</v>
      </c>
      <c r="E7" s="1">
        <v>60</v>
      </c>
      <c r="F7" s="1"/>
      <c r="G7" s="1">
        <v>73</v>
      </c>
      <c r="H7" s="1">
        <v>73</v>
      </c>
    </row>
    <row r="8" spans="1:8">
      <c r="A8" s="1">
        <v>486</v>
      </c>
      <c r="B8" s="1">
        <v>71.010000000000005</v>
      </c>
      <c r="C8" s="1">
        <v>46.62</v>
      </c>
      <c r="D8" s="1">
        <v>77.540000000000006</v>
      </c>
      <c r="E8" s="1">
        <v>160.66999999999999</v>
      </c>
      <c r="F8" s="1"/>
      <c r="G8" s="1">
        <v>78</v>
      </c>
      <c r="H8" s="1">
        <v>68</v>
      </c>
    </row>
    <row r="9" spans="1:8">
      <c r="A9" s="1">
        <v>83</v>
      </c>
      <c r="B9" s="1">
        <v>71.36</v>
      </c>
      <c r="C9" s="1">
        <v>15.59</v>
      </c>
      <c r="D9" s="1">
        <v>89.28</v>
      </c>
      <c r="E9" s="1">
        <v>264.55</v>
      </c>
      <c r="F9" s="1"/>
      <c r="G9" s="1">
        <v>80</v>
      </c>
      <c r="H9" s="1">
        <v>56</v>
      </c>
    </row>
    <row r="10" spans="1:8">
      <c r="A10" s="1">
        <v>65</v>
      </c>
      <c r="B10" s="1">
        <v>64.459999999999994</v>
      </c>
      <c r="C10" s="1">
        <v>44.18</v>
      </c>
      <c r="D10" s="1">
        <v>69.95</v>
      </c>
      <c r="E10" s="1">
        <v>80.69</v>
      </c>
      <c r="F10" s="1"/>
      <c r="G10" s="1">
        <v>65</v>
      </c>
      <c r="H10" s="1">
        <v>76</v>
      </c>
    </row>
    <row r="11" spans="1:8">
      <c r="A11" s="1">
        <v>175</v>
      </c>
      <c r="B11" s="1">
        <v>62.45</v>
      </c>
      <c r="C11" s="1">
        <v>51.57</v>
      </c>
      <c r="D11" s="1">
        <v>59.72</v>
      </c>
      <c r="E11" s="1">
        <v>58.68</v>
      </c>
      <c r="F11" s="1"/>
      <c r="G11" s="1">
        <v>84</v>
      </c>
      <c r="H11" s="1">
        <v>65</v>
      </c>
    </row>
    <row r="12" spans="1:8">
      <c r="A12" s="1">
        <v>14</v>
      </c>
      <c r="B12" s="1">
        <v>68.680000000000007</v>
      </c>
      <c r="C12" s="1">
        <v>32.81</v>
      </c>
      <c r="D12" s="1">
        <v>90.43</v>
      </c>
      <c r="E12" s="1">
        <v>196.51</v>
      </c>
      <c r="F12" s="1"/>
      <c r="G12" s="1">
        <v>116</v>
      </c>
      <c r="H12" s="1">
        <v>45</v>
      </c>
    </row>
    <row r="13" spans="1:8">
      <c r="A13" s="1">
        <v>167</v>
      </c>
      <c r="B13" s="1">
        <v>67.42</v>
      </c>
      <c r="C13" s="1">
        <v>37.04</v>
      </c>
      <c r="D13" s="1">
        <v>81.819999999999993</v>
      </c>
      <c r="E13" s="1">
        <v>125.75</v>
      </c>
      <c r="F13" s="1"/>
      <c r="G13" s="1">
        <v>76</v>
      </c>
      <c r="H13" s="1">
        <v>58</v>
      </c>
    </row>
    <row r="14" spans="1:8">
      <c r="A14" s="1"/>
      <c r="B14" s="1"/>
      <c r="C14" s="1"/>
      <c r="D14" s="1"/>
      <c r="E14" s="1"/>
      <c r="F14" s="1"/>
      <c r="G14" s="1">
        <v>97</v>
      </c>
      <c r="H14" s="1">
        <v>45</v>
      </c>
    </row>
    <row r="15" spans="1:8">
      <c r="A15" s="1"/>
      <c r="B15" s="1"/>
      <c r="C15" s="1"/>
      <c r="D15" s="1"/>
      <c r="E15" s="1"/>
      <c r="F15" s="1"/>
      <c r="G15" s="1">
        <v>100</v>
      </c>
      <c r="H15" s="1">
        <v>53</v>
      </c>
    </row>
    <row r="16" spans="1:8">
      <c r="G16" s="1">
        <v>105</v>
      </c>
      <c r="H16" s="1">
        <v>49</v>
      </c>
    </row>
    <row r="17" spans="1:8">
      <c r="G17" s="1">
        <v>77</v>
      </c>
      <c r="H17" s="1">
        <v>78</v>
      </c>
    </row>
    <row r="18" spans="1:8">
      <c r="G18" s="1">
        <v>73</v>
      </c>
      <c r="H18" s="1">
        <v>73</v>
      </c>
    </row>
    <row r="19" spans="1:8">
      <c r="G19" s="1">
        <v>78</v>
      </c>
      <c r="H19" s="1">
        <v>68</v>
      </c>
    </row>
    <row r="25" spans="1:8">
      <c r="A25" t="s">
        <v>7</v>
      </c>
      <c r="B25">
        <f>CORREL(D2:D13,E2:E13)</f>
        <v>0.85976818301751523</v>
      </c>
    </row>
    <row r="26" spans="1:8">
      <c r="A26" t="s">
        <v>8</v>
      </c>
      <c r="B26">
        <f>CORREL(A2:A13,C2:C13)</f>
        <v>-0.13387158243661493</v>
      </c>
    </row>
    <row r="27" spans="1:8">
      <c r="A27" t="s">
        <v>9</v>
      </c>
      <c r="B27">
        <f>CORREL(B2:B13,E2:E13)</f>
        <v>0.87748418810521123</v>
      </c>
    </row>
    <row r="28" spans="1:8">
      <c r="A28" t="s">
        <v>10</v>
      </c>
      <c r="B28">
        <f>CORREL(G2:G19,H2:H19)</f>
        <v>-0.83667662926459663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CLANDIO TIMM MARQUES</dc:creator>
  <cp:keywords/>
  <dc:description/>
  <cp:lastModifiedBy>Vinícius Martins de Moraes</cp:lastModifiedBy>
  <cp:revision/>
  <dcterms:created xsi:type="dcterms:W3CDTF">2024-06-11T01:03:53Z</dcterms:created>
  <dcterms:modified xsi:type="dcterms:W3CDTF">2024-06-17T16:48:00Z</dcterms:modified>
  <cp:category/>
  <cp:contentStatus/>
</cp:coreProperties>
</file>